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firstSheet="2" activeTab="1"/>
  </bookViews>
  <sheets>
    <sheet name="cor_copy_copy" sheetId="13" r:id="rId1"/>
    <sheet name="Sheet1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<sst xmlns="http://schemas.openxmlformats.org/spreadsheetml/2006/main" count="84" uniqueCount="44">
  <si>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LAmean</t>
  </si>
  <si>
    <t>LAcv</t>
  </si>
  <si>
    <t>CE</t>
  </si>
  <si>
    <t>PADcv</t>
  </si>
  <si>
    <t>PAI</t>
  </si>
  <si>
    <t>CC</t>
  </si>
  <si>
    <t>GF</t>
  </si>
  <si>
    <t>PADcv_PAI</t>
  </si>
  <si>
    <t>CLS</t>
  </si>
  <si>
    <t>NAME</t>
  </si>
  <si>
    <t>conj</t>
  </si>
  <si>
    <t>071802</t>
  </si>
  <si>
    <t>071803</t>
  </si>
  <si>
    <t>071804</t>
  </si>
  <si>
    <t>071805</t>
  </si>
  <si>
    <t>071903</t>
  </si>
  <si>
    <t>dec</t>
  </si>
  <si>
    <t>072003</t>
  </si>
  <si>
    <t>072104</t>
  </si>
  <si>
    <t>072106</t>
  </si>
  <si>
    <t>072107</t>
  </si>
  <si>
    <t>072503</t>
  </si>
  <si>
    <t>conm</t>
  </si>
  <si>
    <t>072409</t>
  </si>
  <si>
    <t>072346</t>
  </si>
  <si>
    <t>072437</t>
  </si>
  <si>
    <t>072349</t>
  </si>
  <si>
    <t>072350</t>
  </si>
  <si>
    <t>Response</t>
  </si>
  <si>
    <t>Predictor</t>
  </si>
  <si>
    <t>Coefficient</t>
  </si>
  <si>
    <t>Standard Error</t>
  </si>
  <si>
    <t>p-value</t>
  </si>
  <si>
    <t>R2</t>
  </si>
  <si>
    <t>RMSE</t>
  </si>
  <si>
    <t>Intercept</t>
  </si>
  <si>
    <t>&lt;0.001</t>
  </si>
  <si>
    <t>&lt;0.001***</t>
  </si>
  <si>
    <t>0.001**</t>
  </si>
  <si>
    <t>0.002**</t>
  </si>
  <si>
    <t>0.008**</t>
  </si>
  <si>
    <t>0.034*</t>
  </si>
  <si>
    <t>0.005**</t>
  </si>
  <si>
    <t>0.032*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</si>
</sst>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G12" sqref="G12"/>
    </sheetView>
  </sheetViews>
  <sheetFormatPr defaultColWidth="8.88888888888889" defaultRowHeight="13.8"/>
  <cols>
    <col min="1" max="6" width="12.8888888888889"/>
    <col min="7" max="7" width="9.66666666666667"/>
    <col min="8" max="8" width="12.888888888888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0.0908823529411764</v>
      </c>
      <c r="B2">
        <v>0.619978375782659</v>
      </c>
      <c r="C2">
        <v>9.82498816672285</v>
      </c>
      <c r="D2">
        <v>1.18148825512341</v>
      </c>
      <c r="E2">
        <v>5.2241753934</v>
      </c>
      <c r="F2">
        <f>1-G2</f>
        <v>0.665659</v>
      </c>
      <c r="G2">
        <v>0.334341</v>
      </c>
      <c r="H2">
        <f>E2*D2</f>
        <v>6.17230187000682</v>
      </c>
      <c r="I2" s="9" t="s">
        <v>10</v>
      </c>
      <c r="J2" s="9" t="s">
        <v>11</v>
      </c>
    </row>
    <row r="3" spans="1:10">
      <c r="A3">
        <v>0.0946351052631579</v>
      </c>
      <c r="B3">
        <v>0.621147723300969</v>
      </c>
      <c r="C3">
        <v>9.93460973513272</v>
      </c>
      <c r="D3">
        <v>1.24199167306023</v>
      </c>
      <c r="E3">
        <v>5.79956650479</v>
      </c>
      <c r="F3">
        <f t="shared" ref="F3:F16" si="0">1-G3</f>
        <v>0.723739</v>
      </c>
      <c r="G3">
        <v>0.276261</v>
      </c>
      <c r="H3">
        <f t="shared" ref="H3:H16" si="1">E3*D3</f>
        <v>7.2030133063082</v>
      </c>
      <c r="I3" s="9" t="s">
        <v>10</v>
      </c>
      <c r="J3" s="9" t="s">
        <v>12</v>
      </c>
    </row>
    <row r="4" spans="1:10">
      <c r="A4">
        <v>0.1109621405</v>
      </c>
      <c r="B4">
        <v>0.662750349930184</v>
      </c>
      <c r="C4">
        <v>9.97263032121699</v>
      </c>
      <c r="D4">
        <v>1.20956268701442</v>
      </c>
      <c r="E4">
        <v>5.754518713633</v>
      </c>
      <c r="F4">
        <f t="shared" si="0"/>
        <v>0.716467</v>
      </c>
      <c r="G4">
        <v>0.283533</v>
      </c>
      <c r="H4">
        <f t="shared" si="1"/>
        <v>6.9604511177367</v>
      </c>
      <c r="I4" s="9" t="s">
        <v>10</v>
      </c>
      <c r="J4" s="9" t="s">
        <v>13</v>
      </c>
    </row>
    <row r="5" spans="1:10">
      <c r="A5">
        <v>0.088604366995</v>
      </c>
      <c r="B5">
        <v>0.635179627571476</v>
      </c>
      <c r="C5">
        <v>9.91212769882301</v>
      </c>
      <c r="D5">
        <v>1.21962711974099</v>
      </c>
      <c r="E5">
        <v>5.164801314635</v>
      </c>
      <c r="F5">
        <f t="shared" si="0"/>
        <v>0.681477</v>
      </c>
      <c r="G5">
        <v>0.318523</v>
      </c>
      <c r="H5">
        <f t="shared" si="1"/>
        <v>6.29913175140276</v>
      </c>
      <c r="I5" s="9" t="s">
        <v>10</v>
      </c>
      <c r="J5" s="9" t="s">
        <v>14</v>
      </c>
    </row>
    <row r="6" spans="1:10">
      <c r="A6">
        <v>0.11605832068421</v>
      </c>
      <c r="B6">
        <v>0.495515750497244</v>
      </c>
      <c r="C6">
        <v>10.1426400321184</v>
      </c>
      <c r="D6">
        <v>1.21382503287682</v>
      </c>
      <c r="E6">
        <v>5.50919385786</v>
      </c>
      <c r="F6">
        <f t="shared" si="0"/>
        <v>0.738196</v>
      </c>
      <c r="G6">
        <v>0.261804</v>
      </c>
      <c r="H6">
        <f t="shared" si="1"/>
        <v>6.68719741564169</v>
      </c>
      <c r="I6" s="9" t="s">
        <v>10</v>
      </c>
      <c r="J6" s="9" t="s">
        <v>15</v>
      </c>
    </row>
    <row r="7" spans="1:10">
      <c r="A7">
        <v>0.1178833335</v>
      </c>
      <c r="B7">
        <v>0.502494854232032</v>
      </c>
      <c r="C7">
        <v>10.4436818822074</v>
      </c>
      <c r="D7">
        <v>1.115985166953</v>
      </c>
      <c r="E7">
        <v>5.7507156634</v>
      </c>
      <c r="F7">
        <f t="shared" si="0"/>
        <v>0.722297</v>
      </c>
      <c r="G7">
        <v>0.277703</v>
      </c>
      <c r="H7">
        <f t="shared" si="1"/>
        <v>6.41771337971868</v>
      </c>
      <c r="I7" s="9" t="s">
        <v>16</v>
      </c>
      <c r="J7" s="9" t="s">
        <v>17</v>
      </c>
    </row>
    <row r="8" spans="1:10">
      <c r="A8">
        <v>0.0942625994</v>
      </c>
      <c r="B8">
        <v>0.492896795972776</v>
      </c>
      <c r="C8">
        <v>10.2110165968776</v>
      </c>
      <c r="D8">
        <v>1.18985735908091</v>
      </c>
      <c r="E8">
        <v>5.27257008854</v>
      </c>
      <c r="F8">
        <f t="shared" si="0"/>
        <v>0.762053</v>
      </c>
      <c r="G8">
        <v>0.237947</v>
      </c>
      <c r="H8">
        <f t="shared" si="1"/>
        <v>6.27360632111921</v>
      </c>
      <c r="I8" s="9" t="s">
        <v>16</v>
      </c>
      <c r="J8" s="9" t="s">
        <v>18</v>
      </c>
    </row>
    <row r="9" spans="1:10">
      <c r="A9">
        <v>0.087489434</v>
      </c>
      <c r="B9">
        <v>0.477804173861528</v>
      </c>
      <c r="C9">
        <v>10.0419759890833</v>
      </c>
      <c r="D9">
        <v>1.11147859727279</v>
      </c>
      <c r="E9">
        <v>5.09198980065</v>
      </c>
      <c r="F9">
        <f t="shared" si="0"/>
        <v>0.772896</v>
      </c>
      <c r="G9">
        <v>0.227104</v>
      </c>
      <c r="H9">
        <f t="shared" si="1"/>
        <v>5.65963768095382</v>
      </c>
      <c r="I9" s="9" t="s">
        <v>16</v>
      </c>
      <c r="J9" s="9" t="s">
        <v>19</v>
      </c>
    </row>
    <row r="10" spans="1:10">
      <c r="A10">
        <v>0.1434375</v>
      </c>
      <c r="B10">
        <v>0.64285347946657</v>
      </c>
      <c r="C10">
        <v>10.4595873083319</v>
      </c>
      <c r="D10">
        <v>1.1947339031207</v>
      </c>
      <c r="E10">
        <v>8.0871996025</v>
      </c>
      <c r="F10">
        <f t="shared" si="0"/>
        <v>0.863623</v>
      </c>
      <c r="G10">
        <v>0.136377</v>
      </c>
      <c r="H10">
        <f t="shared" si="1"/>
        <v>9.662051546411</v>
      </c>
      <c r="I10" s="9" t="s">
        <v>16</v>
      </c>
      <c r="J10" s="9" t="s">
        <v>20</v>
      </c>
    </row>
    <row r="11" spans="1:10">
      <c r="A11">
        <v>0.114535714285714</v>
      </c>
      <c r="B11">
        <v>0.40844630305329</v>
      </c>
      <c r="C11">
        <v>10.4665437180447</v>
      </c>
      <c r="D11">
        <v>1.14458155247772</v>
      </c>
      <c r="E11">
        <v>4.95840236875</v>
      </c>
      <c r="F11">
        <f t="shared" si="0"/>
        <v>0.81618</v>
      </c>
      <c r="G11">
        <v>0.18382</v>
      </c>
      <c r="H11">
        <f t="shared" si="1"/>
        <v>5.67529588103308</v>
      </c>
      <c r="I11" s="9" t="s">
        <v>16</v>
      </c>
      <c r="J11" s="9" t="s">
        <v>21</v>
      </c>
    </row>
    <row r="12" spans="1:10">
      <c r="A12">
        <v>0.113484814814815</v>
      </c>
      <c r="B12">
        <v>0.472685867314816</v>
      </c>
      <c r="C12">
        <v>10.3560336380744</v>
      </c>
      <c r="D12">
        <v>1.19948134508217</v>
      </c>
      <c r="E12">
        <v>4.8465991109</v>
      </c>
      <c r="F12">
        <f t="shared" si="0"/>
        <v>0.813819</v>
      </c>
      <c r="G12">
        <v>0.186181</v>
      </c>
      <c r="H12">
        <f t="shared" si="1"/>
        <v>5.81340522061638</v>
      </c>
      <c r="I12" s="9" t="s">
        <v>22</v>
      </c>
      <c r="J12" s="9" t="s">
        <v>23</v>
      </c>
    </row>
    <row r="13" spans="1:10">
      <c r="A13">
        <v>0.130013740740741</v>
      </c>
      <c r="B13">
        <v>0.468380572411227</v>
      </c>
      <c r="C13">
        <v>10.3792930481386</v>
      </c>
      <c r="D13">
        <v>1.29607807316781</v>
      </c>
      <c r="E13">
        <v>8.17418706909</v>
      </c>
      <c r="F13">
        <f t="shared" si="0"/>
        <v>0.7922</v>
      </c>
      <c r="G13">
        <v>0.2078</v>
      </c>
      <c r="H13">
        <f t="shared" si="1"/>
        <v>10.5943846262194</v>
      </c>
      <c r="I13" s="9" t="s">
        <v>22</v>
      </c>
      <c r="J13" s="9" t="s">
        <v>24</v>
      </c>
    </row>
    <row r="14" spans="1:10">
      <c r="A14">
        <v>0.153847814730769</v>
      </c>
      <c r="B14">
        <v>0.443929952165279</v>
      </c>
      <c r="C14">
        <v>10.3451391441342</v>
      </c>
      <c r="D14">
        <v>1.39387458309244</v>
      </c>
      <c r="E14">
        <v>8.9870217145</v>
      </c>
      <c r="F14">
        <f t="shared" si="0"/>
        <v>0.814769</v>
      </c>
      <c r="G14">
        <v>0.185231</v>
      </c>
      <c r="H14">
        <f t="shared" si="1"/>
        <v>12.5267811455414</v>
      </c>
      <c r="I14" s="9" t="s">
        <v>22</v>
      </c>
      <c r="J14" s="9" t="s">
        <v>25</v>
      </c>
    </row>
    <row r="15" spans="1:10">
      <c r="A15">
        <v>0.0772544270442857</v>
      </c>
      <c r="B15">
        <v>0.244617173823096</v>
      </c>
      <c r="C15">
        <v>10.4497933112017</v>
      </c>
      <c r="D15">
        <v>1.31662535892175</v>
      </c>
      <c r="E15">
        <v>3.518774537251</v>
      </c>
      <c r="F15">
        <f t="shared" si="0"/>
        <v>0.773</v>
      </c>
      <c r="G15">
        <v>0.227</v>
      </c>
      <c r="H15">
        <f t="shared" si="1"/>
        <v>4.63290778807281</v>
      </c>
      <c r="I15" s="9" t="s">
        <v>22</v>
      </c>
      <c r="J15" s="9" t="s">
        <v>26</v>
      </c>
    </row>
    <row r="16" spans="1:10">
      <c r="A16">
        <v>0.0881453147862069</v>
      </c>
      <c r="B16">
        <v>0.385251587671139</v>
      </c>
      <c r="C16">
        <v>10.1133038506177</v>
      </c>
      <c r="D16">
        <v>1.30039076669381</v>
      </c>
      <c r="E16">
        <v>4.59732831458</v>
      </c>
      <c r="F16">
        <f t="shared" si="0"/>
        <v>0.714</v>
      </c>
      <c r="G16">
        <v>0.286</v>
      </c>
      <c r="H16">
        <f t="shared" si="1"/>
        <v>5.97832329173985</v>
      </c>
      <c r="I16" s="9" t="s">
        <v>22</v>
      </c>
      <c r="J16" s="9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A1" sqref="A1:G21"/>
    </sheetView>
  </sheetViews>
  <sheetFormatPr defaultColWidth="8.88888888888889" defaultRowHeight="13.8" outlineLevelCol="6"/>
  <cols>
    <col min="3" max="3" width="11.3333333333333" style="1" customWidth="1"/>
    <col min="6" max="6" width="20" customWidth="1"/>
    <col min="7" max="7" width="7.66666666666667" customWidth="1"/>
  </cols>
  <sheetData>
    <row r="1" ht="27.6" spans="1:7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>
      <c r="A2" s="3" t="s">
        <v>0</v>
      </c>
      <c r="B2" s="3" t="s">
        <v>35</v>
      </c>
      <c r="C2" s="3">
        <v>0.108</v>
      </c>
      <c r="D2" s="3">
        <v>0.002</v>
      </c>
      <c r="E2" s="3" t="s">
        <v>36</v>
      </c>
      <c r="F2" s="3">
        <v>0.872</v>
      </c>
      <c r="G2" s="3">
        <v>0.008</v>
      </c>
    </row>
    <row r="3" spans="1:7">
      <c r="A3" s="3"/>
      <c r="B3" s="3" t="s">
        <v>2</v>
      </c>
      <c r="C3" s="3">
        <v>0.007</v>
      </c>
      <c r="D3" s="3">
        <v>0.004</v>
      </c>
      <c r="E3" s="3">
        <v>0.131</v>
      </c>
      <c r="F3" s="3"/>
      <c r="G3" s="3"/>
    </row>
    <row r="4" spans="1:7">
      <c r="A4" s="3"/>
      <c r="B4" s="3" t="s">
        <v>3</v>
      </c>
      <c r="C4" s="3">
        <v>-0.002</v>
      </c>
      <c r="D4" s="3">
        <v>0.003</v>
      </c>
      <c r="E4" s="3">
        <v>0.425</v>
      </c>
      <c r="F4" s="3"/>
      <c r="G4" s="3"/>
    </row>
    <row r="5" spans="1:7">
      <c r="A5" s="3"/>
      <c r="B5" s="3" t="s">
        <v>4</v>
      </c>
      <c r="C5" s="3">
        <v>0.018</v>
      </c>
      <c r="D5" s="3">
        <v>0.003</v>
      </c>
      <c r="E5" s="3" t="s">
        <v>36</v>
      </c>
      <c r="F5" s="3"/>
      <c r="G5" s="3"/>
    </row>
    <row r="6" spans="1:7">
      <c r="A6" s="3"/>
      <c r="B6" s="3" t="s">
        <v>6</v>
      </c>
      <c r="C6" s="3">
        <v>0</v>
      </c>
      <c r="D6" s="3">
        <v>0.004</v>
      </c>
      <c r="E6" s="3">
        <v>0.92</v>
      </c>
      <c r="F6" s="3"/>
      <c r="G6" s="3"/>
    </row>
    <row r="7" spans="1:7">
      <c r="A7" s="3" t="s">
        <v>1</v>
      </c>
      <c r="B7" s="3" t="s">
        <v>35</v>
      </c>
      <c r="C7" s="3">
        <v>0.505</v>
      </c>
      <c r="D7" s="3">
        <v>0.017</v>
      </c>
      <c r="E7" s="3" t="s">
        <v>36</v>
      </c>
      <c r="F7" s="3">
        <v>0.765</v>
      </c>
      <c r="G7" s="3">
        <v>0.054</v>
      </c>
    </row>
    <row r="8" spans="1:7">
      <c r="A8" s="3"/>
      <c r="B8" s="3" t="s">
        <v>2</v>
      </c>
      <c r="C8" s="3">
        <v>-0.073</v>
      </c>
      <c r="D8" s="3">
        <v>0.028</v>
      </c>
      <c r="E8" s="3">
        <v>0.028</v>
      </c>
      <c r="F8" s="3"/>
      <c r="G8" s="3"/>
    </row>
    <row r="9" spans="1:7">
      <c r="A9" s="3"/>
      <c r="B9" s="3" t="s">
        <v>3</v>
      </c>
      <c r="C9" s="3">
        <v>-0.056</v>
      </c>
      <c r="D9" s="3">
        <v>0.018</v>
      </c>
      <c r="E9" s="3">
        <v>0.012</v>
      </c>
      <c r="F9" s="3"/>
      <c r="G9" s="3"/>
    </row>
    <row r="10" spans="1:7">
      <c r="A10" s="3"/>
      <c r="B10" s="3" t="s">
        <v>4</v>
      </c>
      <c r="C10" s="3">
        <v>0.074</v>
      </c>
      <c r="D10" s="3">
        <v>0.021</v>
      </c>
      <c r="E10" s="3">
        <v>0.005</v>
      </c>
      <c r="F10" s="3"/>
      <c r="G10" s="3"/>
    </row>
    <row r="11" spans="1:7">
      <c r="A11" s="3"/>
      <c r="B11" s="3" t="s">
        <v>6</v>
      </c>
      <c r="C11" s="3">
        <v>0.003</v>
      </c>
      <c r="D11" s="3">
        <v>0.031</v>
      </c>
      <c r="E11" s="3">
        <v>0.917</v>
      </c>
      <c r="F11" s="3"/>
      <c r="G11" s="3"/>
    </row>
    <row r="12" spans="1:7">
      <c r="A12" s="4" t="s">
        <v>1</v>
      </c>
      <c r="B12" s="4" t="s">
        <v>35</v>
      </c>
      <c r="C12" s="5">
        <v>0.505</v>
      </c>
      <c r="D12" s="5">
        <v>0.016</v>
      </c>
      <c r="E12" s="4" t="s">
        <v>37</v>
      </c>
      <c r="F12" s="6">
        <v>0.765</v>
      </c>
      <c r="G12" s="6">
        <v>0.054</v>
      </c>
    </row>
    <row r="13" spans="1:7">
      <c r="A13" s="5"/>
      <c r="B13" s="4" t="s">
        <v>2</v>
      </c>
      <c r="C13" s="5">
        <v>-0.075</v>
      </c>
      <c r="D13" s="5">
        <v>0.017</v>
      </c>
      <c r="E13" s="4" t="s">
        <v>38</v>
      </c>
      <c r="F13" s="6"/>
      <c r="G13" s="6"/>
    </row>
    <row r="14" spans="1:7">
      <c r="A14" s="5"/>
      <c r="B14" s="4" t="s">
        <v>4</v>
      </c>
      <c r="C14" s="5">
        <v>0.073</v>
      </c>
      <c r="D14" s="5">
        <v>0.018</v>
      </c>
      <c r="E14" s="4" t="s">
        <v>39</v>
      </c>
      <c r="F14" s="6"/>
      <c r="G14" s="6"/>
    </row>
    <row r="15" spans="1:7">
      <c r="A15" s="5"/>
      <c r="B15" s="4" t="s">
        <v>3</v>
      </c>
      <c r="C15" s="5">
        <v>-0.056</v>
      </c>
      <c r="D15" s="5">
        <v>0.017</v>
      </c>
      <c r="E15" s="4" t="s">
        <v>40</v>
      </c>
      <c r="F15" s="6"/>
      <c r="G15" s="6"/>
    </row>
    <row r="16" spans="1:7">
      <c r="A16" s="4" t="s">
        <v>1</v>
      </c>
      <c r="B16" s="4" t="s">
        <v>35</v>
      </c>
      <c r="C16" s="5">
        <v>0.505</v>
      </c>
      <c r="D16" s="5">
        <v>0.025</v>
      </c>
      <c r="E16" s="4" t="s">
        <v>37</v>
      </c>
      <c r="F16" s="6">
        <v>0.405</v>
      </c>
      <c r="G16" s="6">
        <v>0.086</v>
      </c>
    </row>
    <row r="17" spans="1:7">
      <c r="A17" s="5"/>
      <c r="B17" s="4" t="s">
        <v>2</v>
      </c>
      <c r="C17" s="5">
        <v>-0.06</v>
      </c>
      <c r="D17" s="5">
        <v>0.025</v>
      </c>
      <c r="E17" s="4" t="s">
        <v>41</v>
      </c>
      <c r="F17" s="6"/>
      <c r="G17" s="6"/>
    </row>
    <row r="18" spans="1:7">
      <c r="A18" s="5"/>
      <c r="B18" s="4" t="s">
        <v>3</v>
      </c>
      <c r="C18" s="5">
        <v>-0.032</v>
      </c>
      <c r="D18" s="5">
        <v>0.025</v>
      </c>
      <c r="E18" s="5">
        <v>0.227</v>
      </c>
      <c r="F18" s="6"/>
      <c r="G18" s="6"/>
    </row>
    <row r="19" spans="1:7">
      <c r="A19" s="4" t="s">
        <v>1</v>
      </c>
      <c r="B19" s="4" t="s">
        <v>35</v>
      </c>
      <c r="C19" s="5">
        <v>0.505</v>
      </c>
      <c r="D19" s="5">
        <v>0.022</v>
      </c>
      <c r="E19" s="4" t="s">
        <v>37</v>
      </c>
      <c r="F19" s="6">
        <v>0.546</v>
      </c>
      <c r="G19" s="6">
        <v>0.075</v>
      </c>
    </row>
    <row r="20" spans="1:7">
      <c r="A20" s="5"/>
      <c r="B20" s="4" t="s">
        <v>2</v>
      </c>
      <c r="C20" s="5">
        <v>-0.077</v>
      </c>
      <c r="D20" s="5">
        <v>0.022</v>
      </c>
      <c r="E20" s="4" t="s">
        <v>42</v>
      </c>
      <c r="F20" s="5"/>
      <c r="G20" s="5"/>
    </row>
    <row r="21" spans="1:7">
      <c r="A21" s="5"/>
      <c r="B21" s="4" t="s">
        <v>4</v>
      </c>
      <c r="C21" s="5">
        <v>0.054</v>
      </c>
      <c r="D21" s="5">
        <v>0.022</v>
      </c>
      <c r="E21" s="4" t="s">
        <v>43</v>
      </c>
      <c r="F21" s="5"/>
      <c r="G21" s="5"/>
    </row>
    <row r="22" spans="1:7">
      <c r="A22" s="7"/>
      <c r="B22" s="7"/>
      <c r="C22" s="8"/>
      <c r="D22" s="7"/>
      <c r="E22" s="7"/>
      <c r="F22" s="7"/>
      <c r="G2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cor_copy_copy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Liuyang</cp:lastModifiedBy>
  <dcterms:created xsi:type="dcterms:W3CDTF">2015-06-05T18:19:00Z</dcterms:created>
  <dcterms:modified xsi:type="dcterms:W3CDTF">2025-07-16T04:05:04Z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8D577260CF5E4DB08A7C1B42C1C3F659_12</vt:lpwstr>
  </property>
  <property fmtid="{D5CDD505-2E9C-101B-9397-08002B2CF9AE}" pid="3" name="KSOProductBuildVer">
    <vt:lpwstr>2052-12.1.0.18608</vt:lpwstr>
  </property>
</Properties>
</file>